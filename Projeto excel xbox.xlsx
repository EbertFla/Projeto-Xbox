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f0e984873af09b/Documentos/Flávio/Cursos/Analise de Dados/Excel/"/>
    </mc:Choice>
  </mc:AlternateContent>
  <xr:revisionPtr revIDLastSave="891" documentId="8_{7F2A857F-165D-47FC-8253-2F2EC2F07677}" xr6:coauthVersionLast="47" xr6:coauthVersionMax="47" xr10:uidLastSave="{BDE105B6-5BBB-493F-ABC7-D550FD412A07}"/>
  <bookViews>
    <workbookView xWindow="-21720" yWindow="-120" windowWidth="21840" windowHeight="130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3" l="1"/>
  <c r="C20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<sst xmlns="http://schemas.openxmlformats.org/spreadsheetml/2006/main" count="2017" uniqueCount="319">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</sst>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0" fontId="1" fillId="0" borderId="2" xfId="1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2" xfId="1" applyFont="1" applyBorder="1" applyAlignment="1">
      <alignment horizontal="left" indent="8"/>
    </xf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FE0B9081-821C-4B7B-82E6-142CB1522618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[material xbox.xlsx]C̳álculos!tbl_annual 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42171307788608"/>
          <c:y val="0.22865114352818086"/>
          <c:w val="0.70307717251716484"/>
          <c:h val="0.715984327914947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13-454C-81C7-95E26B4619CB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13-454C-81C7-95E26B4619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C̳álculos!$C$6:$C$8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3-454C-81C7-95E26B461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0665680"/>
        <c:axId val="1046253904"/>
      </c:barChart>
      <c:catAx>
        <c:axId val="105066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6253904"/>
        <c:crosses val="autoZero"/>
        <c:auto val="1"/>
        <c:lblAlgn val="ctr"/>
        <c:lblOffset val="100"/>
        <c:noMultiLvlLbl val="0"/>
      </c:catAx>
      <c:valAx>
        <c:axId val="104625390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5066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508091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55245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43815</xdr:rowOff>
    </xdr:from>
    <xdr:to>
      <xdr:col>3</xdr:col>
      <xdr:colOff>57150</xdr:colOff>
      <xdr:row>27</xdr:row>
      <xdr:rowOff>112395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051935"/>
          <a:ext cx="1219200" cy="1165860"/>
        </a:xfrm>
        <a:prstGeom prst="rect">
          <a:avLst/>
        </a:prstGeom>
      </xdr:spPr>
    </xdr:pic>
    <xdr:clientData/>
  </xdr:twoCellAnchor>
  <xdr:twoCellAnchor editAs="absolute">
    <xdr:from>
      <xdr:col>4</xdr:col>
      <xdr:colOff>129540</xdr:colOff>
      <xdr:row>22</xdr:row>
      <xdr:rowOff>76199</xdr:rowOff>
    </xdr:from>
    <xdr:to>
      <xdr:col>6</xdr:col>
      <xdr:colOff>440766</xdr:colOff>
      <xdr:row>26</xdr:row>
      <xdr:rowOff>55245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571750" y="4229099"/>
          <a:ext cx="1522806" cy="70675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227168</xdr:colOff>
      <xdr:row>1</xdr:row>
      <xdr:rowOff>103346</xdr:rowOff>
    </xdr:from>
    <xdr:to>
      <xdr:col>3</xdr:col>
      <xdr:colOff>49530</xdr:colOff>
      <xdr:row>2</xdr:row>
      <xdr:rowOff>76133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4916AA0-3DCE-49A2-BE89-FA27E9CDB2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8" t="16172" r="72049" b="16850"/>
        <a:stretch>
          <a:fillRect/>
        </a:stretch>
      </xdr:blipFill>
      <xdr:spPr>
        <a:xfrm>
          <a:off x="2096449" y="281940"/>
          <a:ext cx="679612" cy="699068"/>
        </a:xfrm>
        <a:prstGeom prst="rect">
          <a:avLst/>
        </a:prstGeom>
      </xdr:spPr>
    </xdr:pic>
    <xdr:clientData/>
  </xdr:twoCellAnchor>
  <xdr:twoCellAnchor editAs="oneCell">
    <xdr:from>
      <xdr:col>0</xdr:col>
      <xdr:colOff>15717</xdr:colOff>
      <xdr:row>6</xdr:row>
      <xdr:rowOff>85250</xdr:rowOff>
    </xdr:from>
    <xdr:to>
      <xdr:col>0</xdr:col>
      <xdr:colOff>1807846</xdr:colOff>
      <xdr:row>13</xdr:row>
      <xdr:rowOff>47623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954F87D8-6DE9-4463-A9C4-1B21512016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27" y="1432561"/>
              <a:ext cx="1792129" cy="1450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15713</xdr:colOff>
      <xdr:row>6</xdr:row>
      <xdr:rowOff>89540</xdr:rowOff>
    </xdr:from>
    <xdr:to>
      <xdr:col>9</xdr:col>
      <xdr:colOff>246219</xdr:colOff>
      <xdr:row>15</xdr:row>
      <xdr:rowOff>59060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20687E94-9AF8-D08B-35FE-8A63E2D46397}"/>
            </a:ext>
          </a:extLst>
        </xdr:cNvPr>
        <xdr:cNvGrpSpPr/>
      </xdr:nvGrpSpPr>
      <xdr:grpSpPr>
        <a:xfrm>
          <a:off x="2138836" y="1438756"/>
          <a:ext cx="4481037" cy="1807369"/>
          <a:chOff x="2178366" y="1492567"/>
          <a:chExt cx="4481037" cy="1735932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E840920D-B852-B772-FBA9-90FB526D49C0}"/>
              </a:ext>
            </a:extLst>
          </xdr:cNvPr>
          <xdr:cNvSpPr/>
        </xdr:nvSpPr>
        <xdr:spPr>
          <a:xfrm>
            <a:off x="2185035" y="1525905"/>
            <a:ext cx="4441031" cy="170259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20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174F03D9-002C-4A12-B9C2-9263470FEB00}"/>
              </a:ext>
            </a:extLst>
          </xdr:cNvPr>
          <xdr:cNvSpPr/>
        </xdr:nvSpPr>
        <xdr:spPr>
          <a:xfrm>
            <a:off x="3394874" y="1963521"/>
            <a:ext cx="3195158" cy="112156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FFDC268-6EF1-49C3-9E84-6F484C346038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R$ 1.350,00</a:t>
            </a:fld>
            <a:endParaRPr lang="pt-BR" sz="96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26B488C3-28B5-4101-9FCC-93B60273C5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94284" y="1926849"/>
            <a:ext cx="1221105" cy="115824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CB842CC7-70E2-82F7-923B-6BE65C408375}"/>
              </a:ext>
            </a:extLst>
          </xdr:cNvPr>
          <xdr:cNvSpPr/>
        </xdr:nvSpPr>
        <xdr:spPr>
          <a:xfrm>
            <a:off x="2178366" y="1492567"/>
            <a:ext cx="4481037" cy="42195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281941</xdr:colOff>
      <xdr:row>6</xdr:row>
      <xdr:rowOff>100965</xdr:rowOff>
    </xdr:from>
    <xdr:to>
      <xdr:col>18</xdr:col>
      <xdr:colOff>54295</xdr:colOff>
      <xdr:row>15</xdr:row>
      <xdr:rowOff>53349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CED7E5FB-0E7E-84EA-B6DE-1193D2C64BF4}"/>
            </a:ext>
          </a:extLst>
        </xdr:cNvPr>
        <xdr:cNvGrpSpPr/>
      </xdr:nvGrpSpPr>
      <xdr:grpSpPr>
        <a:xfrm>
          <a:off x="7262814" y="1442561"/>
          <a:ext cx="4475322" cy="1805473"/>
          <a:chOff x="7374257" y="1573054"/>
          <a:chExt cx="4475322" cy="1792138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5C7A38E9-A135-4F50-98E4-F74563A93FC5}"/>
              </a:ext>
            </a:extLst>
          </xdr:cNvPr>
          <xdr:cNvGrpSpPr/>
        </xdr:nvGrpSpPr>
        <xdr:grpSpPr>
          <a:xfrm>
            <a:off x="7378067" y="1573054"/>
            <a:ext cx="4475322" cy="1795948"/>
            <a:chOff x="2182164" y="1490707"/>
            <a:chExt cx="4479131" cy="1737792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974BB55E-E313-F8ED-F44B-9220653C0869}"/>
                </a:ext>
              </a:extLst>
            </xdr:cNvPr>
            <xdr:cNvSpPr/>
          </xdr:nvSpPr>
          <xdr:spPr>
            <a:xfrm>
              <a:off x="2185035" y="1525905"/>
              <a:ext cx="4441031" cy="1702594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2BBD5C2E-2FCA-4169-0071-6671AC1F2C67}"/>
                </a:ext>
              </a:extLst>
            </xdr:cNvPr>
            <xdr:cNvSpPr/>
          </xdr:nvSpPr>
          <xdr:spPr>
            <a:xfrm>
              <a:off x="2182164" y="1490707"/>
              <a:ext cx="4479131" cy="42151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1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</a:t>
              </a:r>
              <a:endPara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2C3EC41A-4015-2DF7-62C3-64DEF6A6CC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603919" y="2364188"/>
            <a:ext cx="1123952" cy="506583"/>
          </a:xfrm>
          <a:prstGeom prst="rect">
            <a:avLst/>
          </a:prstGeom>
        </xdr:spPr>
      </xdr:pic>
      <xdr:sp macro="" textlink="C̳álculos!C31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8F4E61D8-4DAA-46C5-809C-502BA768B0A7}"/>
              </a:ext>
            </a:extLst>
          </xdr:cNvPr>
          <xdr:cNvSpPr/>
        </xdr:nvSpPr>
        <xdr:spPr>
          <a:xfrm>
            <a:off x="8569214" y="2034564"/>
            <a:ext cx="3204142" cy="1165826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8D1F712-4A70-4C15-8891-A0049DF0D20E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R$ 1.800,00</a:t>
            </a:fld>
            <a:endParaRPr lang="pt-BR" sz="36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</xdr:col>
      <xdr:colOff>226218</xdr:colOff>
      <xdr:row>16</xdr:row>
      <xdr:rowOff>127159</xdr:rowOff>
    </xdr:from>
    <xdr:to>
      <xdr:col>18</xdr:col>
      <xdr:colOff>241935</xdr:colOff>
      <xdr:row>32</xdr:row>
      <xdr:rowOff>155259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42B8F986-A5EB-B004-57E5-6C6F93901EBA}"/>
            </a:ext>
          </a:extLst>
        </xdr:cNvPr>
        <xdr:cNvGrpSpPr/>
      </xdr:nvGrpSpPr>
      <xdr:grpSpPr>
        <a:xfrm>
          <a:off x="2095499" y="3500438"/>
          <a:ext cx="9830277" cy="2881790"/>
          <a:chOff x="2218372" y="3613785"/>
          <a:chExt cx="9826467" cy="2887505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64B0FB16-D746-3EE5-6D6B-8E432ED88CCE}"/>
              </a:ext>
            </a:extLst>
          </xdr:cNvPr>
          <xdr:cNvGrpSpPr/>
        </xdr:nvGrpSpPr>
        <xdr:grpSpPr>
          <a:xfrm>
            <a:off x="2214562" y="3615690"/>
            <a:ext cx="9826467" cy="2885600"/>
            <a:chOff x="2048505" y="1399254"/>
            <a:chExt cx="4828067" cy="2887473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8ED62054-FAEE-090B-5FDD-CE86E1ECB9C9}"/>
                </a:ext>
              </a:extLst>
            </xdr:cNvPr>
            <xdr:cNvSpPr/>
          </xdr:nvSpPr>
          <xdr:spPr>
            <a:xfrm>
              <a:off x="2048505" y="1399254"/>
              <a:ext cx="4732207" cy="2776062"/>
            </a:xfrm>
            <a:prstGeom prst="roundRect">
              <a:avLst>
                <a:gd name="adj" fmla="val 1108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BFE58692-272E-4DCC-931E-7D21EFF31C98}"/>
                </a:ext>
              </a:extLst>
            </xdr:cNvPr>
            <xdr:cNvGraphicFramePr>
              <a:graphicFrameLocks/>
            </xdr:cNvGraphicFramePr>
          </xdr:nvGraphicFramePr>
          <xdr:xfrm>
            <a:off x="2312192" y="1535907"/>
            <a:ext cx="4564380" cy="275082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710A34F4-4BB3-4868-8331-AF6ACE441F3A}"/>
              </a:ext>
            </a:extLst>
          </xdr:cNvPr>
          <xdr:cNvSpPr/>
        </xdr:nvSpPr>
        <xdr:spPr>
          <a:xfrm>
            <a:off x="2218372" y="3619500"/>
            <a:ext cx="9616440" cy="42264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216694</xdr:colOff>
      <xdr:row>3</xdr:row>
      <xdr:rowOff>2380</xdr:rowOff>
    </xdr:from>
    <xdr:to>
      <xdr:col>0</xdr:col>
      <xdr:colOff>1478281</xdr:colOff>
      <xdr:row>5</xdr:row>
      <xdr:rowOff>6190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3F981EF3-9C08-2C0D-5EC8-3AC0AAD6FB01}"/>
            </a:ext>
          </a:extLst>
        </xdr:cNvPr>
        <xdr:cNvSpPr/>
      </xdr:nvSpPr>
      <xdr:spPr>
        <a:xfrm>
          <a:off x="216694" y="1002505"/>
          <a:ext cx="1261587" cy="2300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/>
            <a:t>&gt;  Bem Vindo Felipão</a:t>
          </a:r>
        </a:p>
      </xdr:txBody>
    </xdr:sp>
    <xdr:clientData/>
  </xdr:twoCellAnchor>
  <xdr:twoCellAnchor editAs="absolute">
    <xdr:from>
      <xdr:col>0</xdr:col>
      <xdr:colOff>474345</xdr:colOff>
      <xdr:row>0</xdr:row>
      <xdr:rowOff>158590</xdr:rowOff>
    </xdr:from>
    <xdr:to>
      <xdr:col>0</xdr:col>
      <xdr:colOff>1179195</xdr:colOff>
      <xdr:row>1</xdr:row>
      <xdr:rowOff>631506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D40674B9-D4C8-4E54-BE92-2332DECD34EB}"/>
            </a:ext>
          </a:extLst>
        </xdr:cNvPr>
        <xdr:cNvSpPr/>
      </xdr:nvSpPr>
      <xdr:spPr>
        <a:xfrm>
          <a:off x="474345" y="158590"/>
          <a:ext cx="704850" cy="65151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247650</xdr:colOff>
      <xdr:row>3</xdr:row>
      <xdr:rowOff>27621</xdr:rowOff>
    </xdr:from>
    <xdr:to>
      <xdr:col>9</xdr:col>
      <xdr:colOff>250031</xdr:colOff>
      <xdr:row>5</xdr:row>
      <xdr:rowOff>91439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EC945E94-D157-46D4-BD15-D73F122A2B9B}"/>
            </a:ext>
          </a:extLst>
        </xdr:cNvPr>
        <xdr:cNvSpPr/>
      </xdr:nvSpPr>
      <xdr:spPr>
        <a:xfrm>
          <a:off x="2116931" y="1027746"/>
          <a:ext cx="4502944" cy="2900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>
              <a:solidFill>
                <a:schemeClr val="tx1">
                  <a:lumMod val="50000"/>
                  <a:lumOff val="50000"/>
                </a:schemeClr>
              </a:solidFill>
            </a:rPr>
            <a:t>Calculation period</a:t>
          </a:r>
          <a:r>
            <a:rPr lang="pt-BR" sz="1050" baseline="0">
              <a:solidFill>
                <a:schemeClr val="tx1">
                  <a:lumMod val="50000"/>
                  <a:lumOff val="50000"/>
                </a:schemeClr>
              </a:solidFill>
            </a:rPr>
            <a:t>: 01/01/2024 - 31/12/2024 | Update date 30/12/2024 16:50:00</a:t>
          </a:r>
          <a:endParaRPr lang="pt-BR" sz="105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avio Araujo" refreshedDate="46275.891753935182" createdVersion="8" refreshedVersion="8" minRefreshableVersion="3" recordCount="295" xr:uid="{D6319F88-A382-4940-8715-A6DA696AF64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537995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15378-2DD7-4805-960D-EFAE9A0C0F4A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5:C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844E7-47F6-4248-874B-2BCF1E1ABB7B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4:C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FECB7-D76B-4A57-9B4D-B7F755CECCF1}" name="tbl_annual 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5:C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F8A1ECD-7607-4D9F-9D81-C9D223A20F96}" sourceName="Subscription Type">
  <pivotTables>
    <pivotTable tabId="3" name="tbl_annual total"/>
    <pivotTable tabId="3" name="tbl_easeasonpass_total"/>
    <pivotTable tabId="3" name="Tabela dinâmica2"/>
  </pivotTables>
  <data>
    <tabular pivotCacheId="1153799552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2DB5FEF-6C1C-4809-9D4D-0F6A04898FE0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7" sqref="B7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C31"/>
  <sheetViews>
    <sheetView showGridLines="0" topLeftCell="A7" workbookViewId="0">
      <selection activeCell="B7" sqref="B7"/>
    </sheetView>
  </sheetViews>
  <sheetFormatPr defaultRowHeight="14.4" x14ac:dyDescent="0.3"/>
  <cols>
    <col min="2" max="2" width="17.88671875" bestFit="1" customWidth="1"/>
    <col min="3" max="3" width="34.10937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s="12" t="s">
        <v>16</v>
      </c>
      <c r="C3" t="s">
        <v>20</v>
      </c>
    </row>
    <row r="5" spans="2:3" x14ac:dyDescent="0.3">
      <c r="B5" s="12" t="s">
        <v>313</v>
      </c>
      <c r="C5" t="s">
        <v>315</v>
      </c>
    </row>
    <row r="6" spans="2:3" x14ac:dyDescent="0.3">
      <c r="B6" s="13" t="s">
        <v>23</v>
      </c>
      <c r="C6" s="14">
        <v>2824</v>
      </c>
    </row>
    <row r="7" spans="2:3" x14ac:dyDescent="0.3">
      <c r="B7" s="13" t="s">
        <v>19</v>
      </c>
      <c r="C7" s="14">
        <v>747</v>
      </c>
    </row>
    <row r="8" spans="2:3" x14ac:dyDescent="0.3">
      <c r="B8" s="13" t="s">
        <v>314</v>
      </c>
      <c r="C8" s="14">
        <v>3571</v>
      </c>
    </row>
    <row r="12" spans="2:3" x14ac:dyDescent="0.3">
      <c r="B12" s="12" t="s">
        <v>16</v>
      </c>
      <c r="C12" t="s">
        <v>20</v>
      </c>
    </row>
    <row r="14" spans="2:3" x14ac:dyDescent="0.3">
      <c r="B14" s="12" t="s">
        <v>313</v>
      </c>
      <c r="C14" t="s">
        <v>317</v>
      </c>
    </row>
    <row r="15" spans="2:3" x14ac:dyDescent="0.3">
      <c r="B15" s="13" t="s">
        <v>22</v>
      </c>
      <c r="C15" s="15">
        <v>0</v>
      </c>
    </row>
    <row r="16" spans="2:3" x14ac:dyDescent="0.3">
      <c r="B16" s="13" t="s">
        <v>26</v>
      </c>
      <c r="C16" s="15">
        <v>0</v>
      </c>
    </row>
    <row r="17" spans="2:3" x14ac:dyDescent="0.3">
      <c r="B17" s="13" t="s">
        <v>18</v>
      </c>
      <c r="C17" s="15">
        <v>1350</v>
      </c>
    </row>
    <row r="18" spans="2:3" x14ac:dyDescent="0.3">
      <c r="B18" s="13" t="s">
        <v>314</v>
      </c>
      <c r="C18" s="15">
        <v>1350</v>
      </c>
    </row>
    <row r="20" spans="2:3" x14ac:dyDescent="0.3">
      <c r="C20" s="16">
        <f>GETPIVOTDATA("EA Play Season Pass
Price",$B$14)</f>
        <v>1350</v>
      </c>
    </row>
    <row r="23" spans="2:3" x14ac:dyDescent="0.3">
      <c r="B23" s="12" t="s">
        <v>16</v>
      </c>
      <c r="C23" t="s">
        <v>20</v>
      </c>
    </row>
    <row r="25" spans="2:3" x14ac:dyDescent="0.3">
      <c r="B25" s="12" t="s">
        <v>313</v>
      </c>
      <c r="C25" t="s">
        <v>318</v>
      </c>
    </row>
    <row r="26" spans="2:3" x14ac:dyDescent="0.3">
      <c r="B26" s="13" t="s">
        <v>22</v>
      </c>
      <c r="C26" s="14">
        <v>0</v>
      </c>
    </row>
    <row r="27" spans="2:3" x14ac:dyDescent="0.3">
      <c r="B27" s="13" t="s">
        <v>26</v>
      </c>
      <c r="C27" s="14">
        <v>900</v>
      </c>
    </row>
    <row r="28" spans="2:3" x14ac:dyDescent="0.3">
      <c r="B28" s="13" t="s">
        <v>18</v>
      </c>
      <c r="C28" s="14">
        <v>900</v>
      </c>
    </row>
    <row r="29" spans="2:3" x14ac:dyDescent="0.3">
      <c r="B29" s="13" t="s">
        <v>314</v>
      </c>
      <c r="C29" s="14">
        <v>1800</v>
      </c>
    </row>
    <row r="31" spans="2:3" x14ac:dyDescent="0.3">
      <c r="C31" s="17">
        <f>GETPIVOTDATA("Minecraft Season Pass Price",$B$25)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PC136"/>
  <sheetViews>
    <sheetView showGridLines="0" showRowColHeaders="0" tabSelected="1" zoomScale="80" zoomScaleNormal="80" workbookViewId="0">
      <selection activeCell="U10" sqref="U10"/>
    </sheetView>
  </sheetViews>
  <sheetFormatPr defaultRowHeight="14.4" x14ac:dyDescent="0.3"/>
  <cols>
    <col min="1" max="1" width="27.21875" style="4" customWidth="1"/>
    <col min="2" max="2" width="3.5546875" customWidth="1"/>
    <col min="12" max="12" width="6.5546875" customWidth="1"/>
  </cols>
  <sheetData>
    <row r="2" spans="1:419" ht="57" customHeight="1" thickBot="1" x14ac:dyDescent="0.6">
      <c r="C2" s="20" t="s">
        <v>316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</row>
    <row r="3" spans="1:419" s="7" customFormat="1" ht="8.25" customHeight="1" thickTop="1" x14ac:dyDescent="0.3">
      <c r="A3" s="4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  <c r="OD3" s="21"/>
      <c r="OE3" s="21"/>
      <c r="OF3" s="21"/>
      <c r="OG3" s="21"/>
      <c r="OH3" s="21"/>
      <c r="OI3" s="21"/>
      <c r="OJ3" s="21"/>
      <c r="OK3" s="21"/>
      <c r="OL3" s="21"/>
      <c r="OM3" s="21"/>
      <c r="ON3" s="21"/>
      <c r="OO3" s="21"/>
      <c r="OP3" s="21"/>
      <c r="OQ3" s="21"/>
      <c r="OR3" s="21"/>
      <c r="OS3" s="21"/>
      <c r="OT3" s="21"/>
      <c r="OU3" s="21"/>
      <c r="OV3" s="21"/>
      <c r="OW3" s="21"/>
      <c r="OX3" s="21"/>
      <c r="OY3" s="21"/>
      <c r="OZ3" s="21"/>
      <c r="PA3" s="21"/>
      <c r="PB3" s="21"/>
      <c r="PC3" s="21"/>
    </row>
    <row r="4" spans="1:419" s="7" customFormat="1" ht="7.5" customHeight="1" x14ac:dyDescent="0.3">
      <c r="A4" s="4"/>
    </row>
    <row r="5" spans="1:419" s="7" customFormat="1" ht="10.5" customHeight="1" x14ac:dyDescent="0.3">
      <c r="A5" s="4"/>
    </row>
    <row r="6" spans="1:419" s="7" customFormat="1" ht="9.75" customHeight="1" x14ac:dyDescent="0.3">
      <c r="A6" s="4"/>
    </row>
    <row r="7" spans="1:419" s="7" customFormat="1" ht="33" customHeight="1" x14ac:dyDescent="0.3">
      <c r="A7" s="4"/>
    </row>
    <row r="8" spans="1:419" s="7" customFormat="1" x14ac:dyDescent="0.3">
      <c r="A8" s="4"/>
    </row>
    <row r="9" spans="1:419" s="7" customFormat="1" x14ac:dyDescent="0.3">
      <c r="A9" s="4"/>
    </row>
    <row r="10" spans="1:419" s="7" customFormat="1" x14ac:dyDescent="0.3">
      <c r="A10" s="4"/>
    </row>
    <row r="11" spans="1:419" s="7" customFormat="1" x14ac:dyDescent="0.3">
      <c r="A11" s="4"/>
    </row>
    <row r="12" spans="1:419" s="7" customFormat="1" x14ac:dyDescent="0.3">
      <c r="A12" s="4"/>
    </row>
    <row r="13" spans="1:419" s="7" customFormat="1" x14ac:dyDescent="0.3">
      <c r="A13" s="4"/>
    </row>
    <row r="14" spans="1:419" s="7" customFormat="1" x14ac:dyDescent="0.3">
      <c r="A14" s="4"/>
    </row>
    <row r="15" spans="1:419" s="7" customFormat="1" x14ac:dyDescent="0.3">
      <c r="A15" s="4"/>
    </row>
    <row r="16" spans="1:4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Carla De Araújo</cp:lastModifiedBy>
  <dcterms:created xsi:type="dcterms:W3CDTF">2024-12-19T13:13:10Z</dcterms:created>
  <dcterms:modified xsi:type="dcterms:W3CDTF">2026-09-17T23:32:03Z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